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f-my.sharepoint.com/personal/ciannell_ucf_edu/Documents/01 Active (Outcome, Actionable, Finite)/CRESST/Website/Materials/Source Material/"/>
    </mc:Choice>
  </mc:AlternateContent>
  <xr:revisionPtr revIDLastSave="0" documentId="8_{AB63B83E-2969-4805-9F1B-3C495F5D7F54}" xr6:coauthVersionLast="47" xr6:coauthVersionMax="47" xr10:uidLastSave="{00000000-0000-0000-0000-000000000000}"/>
  <bookViews>
    <workbookView xWindow="-98" yWindow="-98" windowWidth="28996" windowHeight="15675" activeTab="3" xr2:uid="{F0E3E495-A65E-46BC-8453-E0919442C2D3}"/>
  </bookViews>
  <sheets>
    <sheet name="CRESST (Base)" sheetId="1" r:id="rId1"/>
    <sheet name="FA Lab" sheetId="2" r:id="rId2"/>
    <sheet name="WG Upfit" sheetId="3" r:id="rId3"/>
    <sheet name="Cryo_PowerInstrument Electroni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4" l="1"/>
  <c r="B12" i="4"/>
  <c r="D2" i="4"/>
  <c r="D12" i="4" s="1"/>
  <c r="C12" i="3"/>
  <c r="B12" i="3"/>
  <c r="D2" i="3"/>
  <c r="D12" i="3" s="1"/>
  <c r="D11" i="2"/>
  <c r="D10" i="2"/>
  <c r="D9" i="2"/>
  <c r="D8" i="2"/>
  <c r="D7" i="2"/>
  <c r="D6" i="2"/>
  <c r="D5" i="2"/>
  <c r="D4" i="2"/>
  <c r="D3" i="2"/>
  <c r="D2" i="2"/>
  <c r="B12" i="2"/>
  <c r="C12" i="2"/>
  <c r="D12" i="2"/>
  <c r="B16" i="1"/>
  <c r="C16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<sst xmlns="http://schemas.openxmlformats.org/spreadsheetml/2006/main" count="60" uniqueCount="44">
  <si>
    <t>Pulsed-laser system acquisition</t>
  </si>
  <si>
    <t>Laser installation, safety systems, and lab modifications</t>
  </si>
  <si>
    <t>Texas A&amp;M beam time</t>
  </si>
  <si>
    <t>Texas A&amp;M travel—faculty plus five students</t>
  </si>
  <si>
    <t>UCF Materials Characterization Facility and other shared facilities</t>
  </si>
  <si>
    <t>Online professional-certification content (TSS+others)</t>
  </si>
  <si>
    <t>Annual CRESST workshop</t>
  </si>
  <si>
    <t>CRESST conference travel and exhibit booth</t>
  </si>
  <si>
    <t>Consultants and external subject-matter experts</t>
  </si>
  <si>
    <t>Test hardware, software, dosimetry, fixtures, and shipping</t>
  </si>
  <si>
    <t>Maintenance/contingency reserve</t>
  </si>
  <si>
    <t>Total</t>
  </si>
  <si>
    <t>FSE/Sandia demonstrations and collaborations (Materials, JPL design support))</t>
  </si>
  <si>
    <t>Winter Garden 200-MeV proton beam time (100 hrs over 2 years)</t>
  </si>
  <si>
    <t>Capability to purchase</t>
  </si>
  <si>
    <t>Year 1</t>
  </si>
  <si>
    <t>Year 2</t>
  </si>
  <si>
    <t>Purpose</t>
  </si>
  <si>
    <t>High-resolution electronics X-ray micro-CT</t>
  </si>
  <si>
    <t>Package, die-attach, wire-bond, solder-joint, via, crack, void, and foreign-material inspection before opening the part</t>
  </si>
  <si>
    <t>Semiconductor parameter analyzer and modern curve-tracer system</t>
  </si>
  <si>
    <t>Pin-to-pin curve tracing, leakage, breakdown, parametric shifts, power-device testing, and pre-/post-radiation comparison</t>
  </si>
  <si>
    <t>Manual/semi-automatic microprobe stations, switching matrix, sockets, fixtures</t>
  </si>
  <si>
    <t>Die-level probing, packaged-part interrogation, microprobing, and repeatable fault verification</t>
  </si>
  <si>
    <t>Thermal/IR and photon-emission fault-localization system</t>
  </si>
  <si>
    <t>Detect localized shorts, leakage, latch-up damage, current paths, and active die defects</t>
  </si>
  <si>
    <t>Optical and metallurgical microscopy suite</t>
  </si>
  <si>
    <t>Bright field, dark field, polarization, low-angle illumination, extended depth of field, image stitching, and evidence documentation</t>
  </si>
  <si>
    <t>Electronics decapsulation and delidding suite</t>
  </si>
  <si>
    <t>Chemical jet etch, plasma cleaning, mechanical delidding, package opening, localized coating removal, and evidence-preserving access</t>
  </si>
  <si>
    <t>Electronics-specific cross-sectioning and sample preparation</t>
  </si>
  <si>
    <t>Precision sectioning, mounting, grinding, polishing, ion cleaning, die thinning, and package cross sections</t>
  </si>
  <si>
    <t>Wire-pull and ball/shear bond tester</t>
  </si>
  <si>
    <t>Quantitative assessment of wire bonds, solder balls, bumps, die attach, and package-interconnect strength</t>
  </si>
  <si>
    <t>ESD-safe evidence handling, imaging database, secure storage, benches, and fixtures</t>
  </si>
  <si>
    <t>Chain of custody, controlled handling, photographic records, fixtures, and test-data integration</t>
  </si>
  <si>
    <t>Facility modifications, utilities, chemical safety, installation, training, and service contracts</t>
  </si>
  <si>
    <t>Fume extraction, acid-compatible wet bench, chilled water, compressed gases, power conditioning, vibration control, installation, and operator training</t>
  </si>
  <si>
    <t>Spending Category</t>
  </si>
  <si>
    <t>Two-Year Total</t>
  </si>
  <si>
    <t xml:space="preserve">Student (2G 4UG no burden) </t>
  </si>
  <si>
    <t>Outfit Test Cell Proton Facility-WG</t>
  </si>
  <si>
    <t>Cability to do medium voltage instrument work</t>
  </si>
  <si>
    <t>50Kelvin Capable TVAC w/ 50kV feed throughs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</si>
</sst>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Aptos Narrow"/>
      <family val="2"/>
      <scheme val="minor"/>
    </font>
    <font>
      <sz val="18"/>
      <name val="Arial"/>
      <family val="2"/>
    </font>
    <font>
      <b/>
      <sz val="12"/>
      <color rgb="FFFFFFFF"/>
      <name val="Calibri"/>
      <family val="2"/>
    </font>
    <font>
      <b/>
      <sz val="12"/>
      <color rgb="FF14284B"/>
      <name val="Calibri"/>
      <family val="2"/>
    </font>
    <font>
      <b/>
      <sz val="14"/>
      <color rgb="FF14284B"/>
      <name val="Calibri"/>
      <family val="2"/>
    </font>
    <font>
      <b/>
      <sz val="18"/>
      <color rgb="FFFFFFFF"/>
      <name val="Calibri"/>
      <family val="2"/>
    </font>
    <font>
      <sz val="16"/>
      <color rgb="FF000000"/>
      <name val="Aptos Narrow"/>
      <family val="2"/>
    </font>
    <font>
      <b/>
      <sz val="16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7EFDD"/>
        <bgColor indexed="64"/>
      </patternFill>
    </fill>
    <fill>
      <patternFill patternType="solid">
        <fgColor rgb="FFD6A34A"/>
        <bgColor indexed="64"/>
      </patternFill>
    </fill>
    <fill>
      <patternFill patternType="solid">
        <fgColor rgb="FF1428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4" borderId="0" xfId="0" applyFont="1" applyFill="1" applyAlignment="1">
      <alignment horizontal="left" vertical="center" wrapText="1" readingOrder="1"/>
    </xf>
    <xf numFmtId="0" fontId="2" fillId="4" borderId="0" xfId="0" applyFont="1" applyFill="1" applyAlignment="1">
      <alignment horizontal="right" vertical="center" wrapText="1" readingOrder="1"/>
    </xf>
    <xf numFmtId="0" fontId="2" fillId="4" borderId="0" xfId="0" applyFont="1" applyFill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readingOrder="1"/>
    </xf>
    <xf numFmtId="6" fontId="3" fillId="0" borderId="0" xfId="0" applyNumberFormat="1" applyFont="1" applyAlignment="1">
      <alignment horizontal="right" vertical="center" wrapText="1" readingOrder="1"/>
    </xf>
    <xf numFmtId="0" fontId="3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horizontal="left" vertical="center" wrapText="1" indent="1" readingOrder="1"/>
    </xf>
    <xf numFmtId="0" fontId="3" fillId="2" borderId="0" xfId="0" applyFont="1" applyFill="1" applyAlignment="1">
      <alignment horizontal="left" vertical="center" wrapText="1" readingOrder="1"/>
    </xf>
    <xf numFmtId="6" fontId="3" fillId="2" borderId="0" xfId="0" applyNumberFormat="1" applyFont="1" applyFill="1" applyAlignment="1">
      <alignment horizontal="right" vertical="center" wrapText="1" readingOrder="1"/>
    </xf>
    <xf numFmtId="0" fontId="3" fillId="2" borderId="0" xfId="0" applyFont="1" applyFill="1" applyAlignment="1">
      <alignment horizontal="right" vertical="center" wrapText="1" readingOrder="1"/>
    </xf>
    <xf numFmtId="0" fontId="3" fillId="2" borderId="0" xfId="0" applyFont="1" applyFill="1" applyAlignment="1">
      <alignment horizontal="left" vertical="center" wrapText="1" indent="1" readingOrder="1"/>
    </xf>
    <xf numFmtId="0" fontId="4" fillId="3" borderId="0" xfId="0" applyFont="1" applyFill="1" applyAlignment="1">
      <alignment horizontal="left" vertical="center" wrapText="1" readingOrder="1"/>
    </xf>
    <xf numFmtId="6" fontId="4" fillId="3" borderId="0" xfId="0" applyNumberFormat="1" applyFont="1" applyFill="1" applyAlignment="1">
      <alignment horizontal="right" vertical="center" wrapText="1" readingOrder="1"/>
    </xf>
    <xf numFmtId="0" fontId="1" fillId="3" borderId="0" xfId="0" applyFont="1" applyFill="1" applyAlignment="1">
      <alignment horizontal="left" vertical="center" wrapText="1" indent="1"/>
    </xf>
    <xf numFmtId="6" fontId="3" fillId="0" borderId="0" xfId="0" applyNumberFormat="1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6" fontId="3" fillId="2" borderId="0" xfId="0" applyNumberFormat="1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  <xf numFmtId="0" fontId="1" fillId="3" borderId="0" xfId="0" applyFont="1" applyFill="1" applyAlignment="1">
      <alignment horizontal="right" vertical="center" wrapText="1" indent="1"/>
    </xf>
    <xf numFmtId="0" fontId="5" fillId="4" borderId="0" xfId="0" applyFont="1" applyFill="1" applyAlignment="1">
      <alignment horizontal="left" vertical="center" wrapText="1" readingOrder="1"/>
    </xf>
    <xf numFmtId="0" fontId="6" fillId="0" borderId="0" xfId="0" applyFont="1" applyAlignment="1">
      <alignment horizontal="left" wrapText="1" readingOrder="1"/>
    </xf>
    <xf numFmtId="0" fontId="6" fillId="2" borderId="0" xfId="0" applyFont="1" applyFill="1" applyAlignment="1">
      <alignment horizontal="left" wrapText="1" readingOrder="1"/>
    </xf>
    <xf numFmtId="0" fontId="7" fillId="3" borderId="0" xfId="0" applyFont="1" applyFill="1" applyAlignment="1">
      <alignment horizontal="left" wrapText="1" readingOrder="1"/>
    </xf>
    <xf numFmtId="0" fontId="5" fillId="4" borderId="0" xfId="0" applyFont="1" applyFill="1" applyAlignment="1">
      <alignment horizontal="center" vertical="center" wrapText="1" readingOrder="1"/>
    </xf>
    <xf numFmtId="6" fontId="6" fillId="0" borderId="0" xfId="0" applyNumberFormat="1" applyFont="1" applyAlignment="1">
      <alignment horizontal="center" wrapText="1" readingOrder="1"/>
    </xf>
    <xf numFmtId="6" fontId="6" fillId="2" borderId="0" xfId="0" applyNumberFormat="1" applyFont="1" applyFill="1" applyAlignment="1">
      <alignment horizontal="center" wrapText="1" readingOrder="1"/>
    </xf>
    <xf numFmtId="6" fontId="7" fillId="3" borderId="0" xfId="0" applyNumberFormat="1" applyFont="1" applyFill="1" applyAlignment="1">
      <alignment horizontal="center" wrapText="1" readingOrder="1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C33-8E18-4D03-A70A-3A289650638B}">
  <dimension ref="A1:D17"/>
  <sheetViews>
    <sheetView workbookViewId="0">
      <selection activeCell="A14" sqref="A14"/>
    </sheetView>
  </sheetViews>
  <sheetFormatPr defaultRowHeight="14.25" x14ac:dyDescent="0.45"/>
  <cols>
    <col min="1" max="1" width="51.9296875" bestFit="1" customWidth="1"/>
    <col min="2" max="3" width="14.796875" style="29" bestFit="1" customWidth="1"/>
    <col min="4" max="4" width="15.9296875" style="29" customWidth="1"/>
  </cols>
  <sheetData>
    <row r="1" spans="1:4" ht="69.75" x14ac:dyDescent="0.45">
      <c r="A1" s="21" t="s">
        <v>38</v>
      </c>
      <c r="B1" s="25" t="s">
        <v>15</v>
      </c>
      <c r="C1" s="25" t="s">
        <v>16</v>
      </c>
      <c r="D1" s="25" t="s">
        <v>39</v>
      </c>
    </row>
    <row r="2" spans="1:4" ht="21" x14ac:dyDescent="0.65">
      <c r="A2" s="22" t="s">
        <v>0</v>
      </c>
      <c r="B2" s="26">
        <v>450000</v>
      </c>
      <c r="C2" s="26">
        <v>350000</v>
      </c>
      <c r="D2" s="26">
        <f>B2+C2</f>
        <v>800000</v>
      </c>
    </row>
    <row r="3" spans="1:4" ht="42" x14ac:dyDescent="0.65">
      <c r="A3" s="23" t="s">
        <v>1</v>
      </c>
      <c r="B3" s="27">
        <v>50000</v>
      </c>
      <c r="C3" s="27">
        <v>50000</v>
      </c>
      <c r="D3" s="27">
        <f t="shared" ref="D3:D15" si="0">B3+C3</f>
        <v>100000</v>
      </c>
    </row>
    <row r="4" spans="1:4" ht="42" x14ac:dyDescent="0.65">
      <c r="A4" s="22" t="s">
        <v>13</v>
      </c>
      <c r="B4" s="26">
        <v>100000</v>
      </c>
      <c r="C4" s="26">
        <v>75000</v>
      </c>
      <c r="D4" s="26">
        <f t="shared" si="0"/>
        <v>175000</v>
      </c>
    </row>
    <row r="5" spans="1:4" ht="21" x14ac:dyDescent="0.65">
      <c r="A5" s="23" t="s">
        <v>2</v>
      </c>
      <c r="B5" s="27">
        <v>50000</v>
      </c>
      <c r="C5" s="27">
        <v>50000</v>
      </c>
      <c r="D5" s="27">
        <f t="shared" si="0"/>
        <v>100000</v>
      </c>
    </row>
    <row r="6" spans="1:4" ht="21" x14ac:dyDescent="0.65">
      <c r="A6" s="22" t="s">
        <v>3</v>
      </c>
      <c r="B6" s="26">
        <v>50000</v>
      </c>
      <c r="C6" s="26">
        <v>50000</v>
      </c>
      <c r="D6" s="26">
        <f t="shared" si="0"/>
        <v>100000</v>
      </c>
    </row>
    <row r="7" spans="1:4" ht="42" x14ac:dyDescent="0.65">
      <c r="A7" s="23" t="s">
        <v>4</v>
      </c>
      <c r="B7" s="27">
        <v>40000</v>
      </c>
      <c r="C7" s="27">
        <v>60000</v>
      </c>
      <c r="D7" s="27">
        <f t="shared" si="0"/>
        <v>100000</v>
      </c>
    </row>
    <row r="8" spans="1:4" ht="42" x14ac:dyDescent="0.65">
      <c r="A8" s="22" t="s">
        <v>5</v>
      </c>
      <c r="B8" s="26">
        <v>200000</v>
      </c>
      <c r="C8" s="26">
        <v>100000</v>
      </c>
      <c r="D8" s="26">
        <f t="shared" si="0"/>
        <v>300000</v>
      </c>
    </row>
    <row r="9" spans="1:4" ht="21" x14ac:dyDescent="0.65">
      <c r="A9" s="23" t="s">
        <v>6</v>
      </c>
      <c r="B9" s="27">
        <v>40000</v>
      </c>
      <c r="C9" s="27">
        <v>40000</v>
      </c>
      <c r="D9" s="27">
        <f t="shared" si="0"/>
        <v>80000</v>
      </c>
    </row>
    <row r="10" spans="1:4" ht="21" x14ac:dyDescent="0.65">
      <c r="A10" s="22" t="s">
        <v>7</v>
      </c>
      <c r="B10" s="26">
        <v>10000</v>
      </c>
      <c r="C10" s="26">
        <v>10000</v>
      </c>
      <c r="D10" s="26">
        <f t="shared" si="0"/>
        <v>20000</v>
      </c>
    </row>
    <row r="11" spans="1:4" ht="42" x14ac:dyDescent="0.65">
      <c r="A11" s="23" t="s">
        <v>8</v>
      </c>
      <c r="B11" s="27">
        <v>50000</v>
      </c>
      <c r="C11" s="27">
        <v>50000</v>
      </c>
      <c r="D11" s="27">
        <f t="shared" si="0"/>
        <v>100000</v>
      </c>
    </row>
    <row r="12" spans="1:4" ht="63" x14ac:dyDescent="0.65">
      <c r="A12" s="22" t="s">
        <v>12</v>
      </c>
      <c r="B12" s="26">
        <v>50000</v>
      </c>
      <c r="C12" s="26">
        <v>50000</v>
      </c>
      <c r="D12" s="26">
        <f t="shared" si="0"/>
        <v>100000</v>
      </c>
    </row>
    <row r="13" spans="1:4" ht="21" x14ac:dyDescent="0.65">
      <c r="A13" s="23" t="s">
        <v>40</v>
      </c>
      <c r="B13" s="27">
        <v>110000</v>
      </c>
      <c r="C13" s="27">
        <v>110000</v>
      </c>
      <c r="D13" s="27">
        <f t="shared" si="0"/>
        <v>220000</v>
      </c>
    </row>
    <row r="14" spans="1:4" ht="42" x14ac:dyDescent="0.65">
      <c r="A14" s="22" t="s">
        <v>9</v>
      </c>
      <c r="B14" s="26">
        <v>30000</v>
      </c>
      <c r="C14" s="26">
        <v>30000</v>
      </c>
      <c r="D14" s="26">
        <f t="shared" si="0"/>
        <v>60000</v>
      </c>
    </row>
    <row r="15" spans="1:4" ht="21" x14ac:dyDescent="0.65">
      <c r="A15" s="23" t="s">
        <v>10</v>
      </c>
      <c r="B15" s="27">
        <v>25000</v>
      </c>
      <c r="C15" s="27">
        <v>25000</v>
      </c>
      <c r="D15" s="27">
        <f t="shared" si="0"/>
        <v>50000</v>
      </c>
    </row>
    <row r="16" spans="1:4" ht="21" x14ac:dyDescent="0.65">
      <c r="A16" s="24" t="s">
        <v>11</v>
      </c>
      <c r="B16" s="28">
        <f t="shared" ref="B16:C16" si="1">SUM(B2:B15)</f>
        <v>1255000</v>
      </c>
      <c r="C16" s="28">
        <f t="shared" si="1"/>
        <v>1050000</v>
      </c>
      <c r="D16" s="28">
        <f>SUM(D2:D15)</f>
        <v>2305000</v>
      </c>
    </row>
    <row r="17" spans="4:4" x14ac:dyDescent="0.45">
      <c r="D17" s="30">
        <f>B16+C16</f>
        <v>2305000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E555-C11D-4FCD-9BF2-43A3B13542A3}">
  <dimension ref="A1:E12"/>
  <sheetViews>
    <sheetView workbookViewId="0">
      <selection activeCell="B2" sqref="B2:D12"/>
    </sheetView>
  </sheetViews>
  <sheetFormatPr defaultRowHeight="14.25" x14ac:dyDescent="0.45"/>
  <cols>
    <col min="1" max="1" width="43.3984375" customWidth="1"/>
    <col min="2" max="4" width="12.9296875" bestFit="1" customWidth="1"/>
    <col min="5" max="5" width="58.33203125" customWidth="1"/>
  </cols>
  <sheetData>
    <row r="1" spans="1:5" ht="15.75" x14ac:dyDescent="0.45">
      <c r="A1" s="19" t="s">
        <v>14</v>
      </c>
      <c r="B1" s="19" t="s">
        <v>15</v>
      </c>
      <c r="C1" s="19" t="s">
        <v>16</v>
      </c>
      <c r="D1" s="19" t="s">
        <v>11</v>
      </c>
      <c r="E1" s="3" t="s">
        <v>17</v>
      </c>
    </row>
    <row r="2" spans="1:5" ht="31.5" x14ac:dyDescent="0.45">
      <c r="A2" s="4" t="s">
        <v>18</v>
      </c>
      <c r="B2" s="15">
        <v>650000</v>
      </c>
      <c r="C2" s="16"/>
      <c r="D2" s="15">
        <f>B2+C2</f>
        <v>650000</v>
      </c>
      <c r="E2" s="4" t="s">
        <v>19</v>
      </c>
    </row>
    <row r="3" spans="1:5" ht="31.5" x14ac:dyDescent="0.45">
      <c r="A3" s="8" t="s">
        <v>20</v>
      </c>
      <c r="B3" s="17">
        <v>325000</v>
      </c>
      <c r="C3" s="18"/>
      <c r="D3" s="17">
        <f t="shared" ref="D3:D11" si="0">B3+C3</f>
        <v>325000</v>
      </c>
      <c r="E3" s="8" t="s">
        <v>21</v>
      </c>
    </row>
    <row r="4" spans="1:5" ht="31.5" x14ac:dyDescent="0.45">
      <c r="A4" s="4" t="s">
        <v>22</v>
      </c>
      <c r="B4" s="15">
        <v>225000</v>
      </c>
      <c r="C4" s="16"/>
      <c r="D4" s="15">
        <f t="shared" si="0"/>
        <v>225000</v>
      </c>
      <c r="E4" s="4" t="s">
        <v>23</v>
      </c>
    </row>
    <row r="5" spans="1:5" ht="31.5" x14ac:dyDescent="0.45">
      <c r="A5" s="8" t="s">
        <v>24</v>
      </c>
      <c r="B5" s="18"/>
      <c r="C5" s="17">
        <v>450000</v>
      </c>
      <c r="D5" s="17">
        <f t="shared" si="0"/>
        <v>450000</v>
      </c>
      <c r="E5" s="8" t="s">
        <v>25</v>
      </c>
    </row>
    <row r="6" spans="1:5" ht="47.25" x14ac:dyDescent="0.45">
      <c r="A6" s="4" t="s">
        <v>26</v>
      </c>
      <c r="B6" s="15">
        <v>175000</v>
      </c>
      <c r="C6" s="16"/>
      <c r="D6" s="15">
        <f t="shared" si="0"/>
        <v>175000</v>
      </c>
      <c r="E6" s="4" t="s">
        <v>27</v>
      </c>
    </row>
    <row r="7" spans="1:5" ht="47.25" x14ac:dyDescent="0.45">
      <c r="A7" s="8" t="s">
        <v>28</v>
      </c>
      <c r="B7" s="18"/>
      <c r="C7" s="17">
        <v>300000</v>
      </c>
      <c r="D7" s="17">
        <f t="shared" si="0"/>
        <v>300000</v>
      </c>
      <c r="E7" s="8" t="s">
        <v>29</v>
      </c>
    </row>
    <row r="8" spans="1:5" ht="31.5" x14ac:dyDescent="0.45">
      <c r="A8" s="4" t="s">
        <v>30</v>
      </c>
      <c r="B8" s="16"/>
      <c r="C8" s="15">
        <v>225000</v>
      </c>
      <c r="D8" s="15">
        <f t="shared" si="0"/>
        <v>225000</v>
      </c>
      <c r="E8" s="4" t="s">
        <v>31</v>
      </c>
    </row>
    <row r="9" spans="1:5" ht="31.5" x14ac:dyDescent="0.45">
      <c r="A9" s="8" t="s">
        <v>32</v>
      </c>
      <c r="B9" s="18"/>
      <c r="C9" s="17">
        <v>175000</v>
      </c>
      <c r="D9" s="17">
        <f t="shared" si="0"/>
        <v>175000</v>
      </c>
      <c r="E9" s="8" t="s">
        <v>33</v>
      </c>
    </row>
    <row r="10" spans="1:5" ht="31.5" x14ac:dyDescent="0.45">
      <c r="A10" s="4" t="s">
        <v>34</v>
      </c>
      <c r="B10" s="16"/>
      <c r="C10" s="15">
        <v>100000</v>
      </c>
      <c r="D10" s="15">
        <f t="shared" si="0"/>
        <v>100000</v>
      </c>
      <c r="E10" s="4" t="s">
        <v>35</v>
      </c>
    </row>
    <row r="11" spans="1:5" ht="47.25" x14ac:dyDescent="0.45">
      <c r="A11" s="8" t="s">
        <v>36</v>
      </c>
      <c r="B11" s="17">
        <v>375000</v>
      </c>
      <c r="C11" s="18"/>
      <c r="D11" s="17">
        <f t="shared" si="0"/>
        <v>375000</v>
      </c>
      <c r="E11" s="8" t="s">
        <v>37</v>
      </c>
    </row>
    <row r="12" spans="1:5" ht="22.15" x14ac:dyDescent="0.45">
      <c r="A12" s="12" t="s">
        <v>11</v>
      </c>
      <c r="B12" s="13">
        <f t="shared" ref="B12:C12" si="1">SUM(B2:B11)</f>
        <v>1750000</v>
      </c>
      <c r="C12" s="13">
        <f t="shared" si="1"/>
        <v>1250000</v>
      </c>
      <c r="D12" s="13">
        <f>SUM(D2:D11)</f>
        <v>3000000</v>
      </c>
      <c r="E12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C8A1-659E-47C5-8F9F-7B39E4221292}">
  <dimension ref="A1:E12"/>
  <sheetViews>
    <sheetView workbookViewId="0">
      <selection activeCell="A2" sqref="A2:D12"/>
    </sheetView>
  </sheetViews>
  <sheetFormatPr defaultRowHeight="14.25" x14ac:dyDescent="0.45"/>
  <cols>
    <col min="1" max="1" width="39.06640625" customWidth="1"/>
    <col min="2" max="2" width="13.19921875" customWidth="1"/>
    <col min="3" max="3" width="13.265625" customWidth="1"/>
    <col min="4" max="4" width="12.9296875" bestFit="1" customWidth="1"/>
    <col min="5" max="5" width="119.46484375" bestFit="1" customWidth="1"/>
  </cols>
  <sheetData>
    <row r="1" spans="1:5" ht="47.25" x14ac:dyDescent="0.45">
      <c r="A1" s="1" t="s">
        <v>14</v>
      </c>
      <c r="B1" s="2" t="s">
        <v>15</v>
      </c>
      <c r="C1" s="2" t="s">
        <v>16</v>
      </c>
      <c r="D1" s="2" t="s">
        <v>11</v>
      </c>
      <c r="E1" s="3" t="s">
        <v>17</v>
      </c>
    </row>
    <row r="2" spans="1:5" ht="15.75" x14ac:dyDescent="0.45">
      <c r="A2" s="4" t="s">
        <v>41</v>
      </c>
      <c r="B2" s="5">
        <v>3000000</v>
      </c>
      <c r="C2" s="5">
        <v>2000000</v>
      </c>
      <c r="D2" s="5">
        <f>B2+C2</f>
        <v>5000000</v>
      </c>
      <c r="E2" s="7"/>
    </row>
    <row r="3" spans="1:5" ht="15.75" x14ac:dyDescent="0.45">
      <c r="A3" s="8"/>
      <c r="B3" s="9"/>
      <c r="C3" s="10"/>
      <c r="D3" s="9"/>
      <c r="E3" s="11"/>
    </row>
    <row r="4" spans="1:5" ht="15.75" x14ac:dyDescent="0.45">
      <c r="A4" s="4"/>
      <c r="B4" s="5"/>
      <c r="C4" s="6"/>
      <c r="D4" s="5"/>
      <c r="E4" s="7"/>
    </row>
    <row r="5" spans="1:5" ht="15.75" x14ac:dyDescent="0.45">
      <c r="A5" s="8"/>
      <c r="B5" s="10"/>
      <c r="C5" s="9"/>
      <c r="D5" s="9"/>
      <c r="E5" s="11"/>
    </row>
    <row r="6" spans="1:5" ht="15.75" x14ac:dyDescent="0.45">
      <c r="A6" s="4"/>
      <c r="B6" s="5"/>
      <c r="C6" s="6"/>
      <c r="D6" s="5"/>
      <c r="E6" s="7"/>
    </row>
    <row r="7" spans="1:5" ht="15.75" x14ac:dyDescent="0.45">
      <c r="A7" s="8"/>
      <c r="B7" s="10"/>
      <c r="C7" s="9"/>
      <c r="D7" s="9"/>
      <c r="E7" s="11"/>
    </row>
    <row r="8" spans="1:5" ht="15.75" x14ac:dyDescent="0.45">
      <c r="A8" s="4"/>
      <c r="B8" s="6"/>
      <c r="C8" s="5"/>
      <c r="D8" s="5"/>
      <c r="E8" s="7"/>
    </row>
    <row r="9" spans="1:5" ht="15.75" x14ac:dyDescent="0.45">
      <c r="A9" s="8"/>
      <c r="B9" s="10"/>
      <c r="C9" s="9"/>
      <c r="D9" s="9"/>
      <c r="E9" s="11"/>
    </row>
    <row r="10" spans="1:5" ht="15.75" x14ac:dyDescent="0.45">
      <c r="A10" s="4"/>
      <c r="B10" s="6"/>
      <c r="C10" s="5"/>
      <c r="D10" s="5"/>
      <c r="E10" s="7"/>
    </row>
    <row r="11" spans="1:5" ht="15.75" x14ac:dyDescent="0.45">
      <c r="A11" s="8"/>
      <c r="B11" s="9"/>
      <c r="C11" s="10"/>
      <c r="D11" s="9"/>
      <c r="E11" s="11"/>
    </row>
    <row r="12" spans="1:5" ht="22.15" x14ac:dyDescent="0.45">
      <c r="A12" s="12" t="s">
        <v>11</v>
      </c>
      <c r="B12" s="13">
        <f t="shared" ref="B12:C12" si="0">SUM(B2:B11)</f>
        <v>3000000</v>
      </c>
      <c r="C12" s="13">
        <f t="shared" si="0"/>
        <v>2000000</v>
      </c>
      <c r="D12" s="13">
        <f>SUM(D2:D11)</f>
        <v>5000000</v>
      </c>
      <c r="E12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1423-B893-47E5-BE76-265BAB5A7D64}">
  <dimension ref="A1:E12"/>
  <sheetViews>
    <sheetView tabSelected="1" workbookViewId="0">
      <selection activeCell="C3" sqref="C3"/>
    </sheetView>
  </sheetViews>
  <sheetFormatPr defaultRowHeight="14.25" x14ac:dyDescent="0.45"/>
  <cols>
    <col min="1" max="1" width="31.73046875" customWidth="1"/>
    <col min="2" max="4" width="12.9296875" bestFit="1" customWidth="1"/>
    <col min="5" max="5" width="34.19921875" customWidth="1"/>
  </cols>
  <sheetData>
    <row r="1" spans="1:5" ht="47.25" x14ac:dyDescent="0.45">
      <c r="A1" s="1" t="s">
        <v>14</v>
      </c>
      <c r="B1" s="2" t="s">
        <v>15</v>
      </c>
      <c r="C1" s="2" t="s">
        <v>16</v>
      </c>
      <c r="D1" s="2" t="s">
        <v>11</v>
      </c>
      <c r="E1" s="3" t="s">
        <v>17</v>
      </c>
    </row>
    <row r="2" spans="1:5" ht="31.5" x14ac:dyDescent="0.45">
      <c r="A2" s="4" t="s">
        <v>43</v>
      </c>
      <c r="B2" s="5">
        <v>300000</v>
      </c>
      <c r="C2" s="5">
        <v>300000</v>
      </c>
      <c r="D2" s="5">
        <f>B2+C2</f>
        <v>600000</v>
      </c>
      <c r="E2" s="7" t="s">
        <v>42</v>
      </c>
    </row>
    <row r="3" spans="1:5" ht="15.75" x14ac:dyDescent="0.45">
      <c r="A3" s="8"/>
      <c r="B3" s="9"/>
      <c r="C3" s="10"/>
      <c r="D3" s="9"/>
      <c r="E3" s="11"/>
    </row>
    <row r="4" spans="1:5" ht="15.75" x14ac:dyDescent="0.45">
      <c r="A4" s="4"/>
      <c r="B4" s="5"/>
      <c r="C4" s="6"/>
      <c r="D4" s="5"/>
      <c r="E4" s="7"/>
    </row>
    <row r="5" spans="1:5" ht="15.75" x14ac:dyDescent="0.45">
      <c r="A5" s="8"/>
      <c r="B5" s="10"/>
      <c r="C5" s="9"/>
      <c r="D5" s="9"/>
      <c r="E5" s="11"/>
    </row>
    <row r="6" spans="1:5" ht="15.75" x14ac:dyDescent="0.45">
      <c r="A6" s="4"/>
      <c r="B6" s="5"/>
      <c r="C6" s="6"/>
      <c r="D6" s="5"/>
      <c r="E6" s="7"/>
    </row>
    <row r="7" spans="1:5" ht="15.75" x14ac:dyDescent="0.45">
      <c r="A7" s="8"/>
      <c r="B7" s="10"/>
      <c r="C7" s="9"/>
      <c r="D7" s="9"/>
      <c r="E7" s="11"/>
    </row>
    <row r="8" spans="1:5" ht="15.75" x14ac:dyDescent="0.45">
      <c r="A8" s="4"/>
      <c r="B8" s="6"/>
      <c r="C8" s="5"/>
      <c r="D8" s="5"/>
      <c r="E8" s="7"/>
    </row>
    <row r="9" spans="1:5" ht="15.75" x14ac:dyDescent="0.45">
      <c r="A9" s="8"/>
      <c r="B9" s="10"/>
      <c r="C9" s="9"/>
      <c r="D9" s="9"/>
      <c r="E9" s="11"/>
    </row>
    <row r="10" spans="1:5" ht="15.75" x14ac:dyDescent="0.45">
      <c r="A10" s="4"/>
      <c r="B10" s="6"/>
      <c r="C10" s="5"/>
      <c r="D10" s="5"/>
      <c r="E10" s="7"/>
    </row>
    <row r="11" spans="1:5" ht="15.75" x14ac:dyDescent="0.45">
      <c r="A11" s="8"/>
      <c r="B11" s="9"/>
      <c r="C11" s="10"/>
      <c r="D11" s="9"/>
      <c r="E11" s="11"/>
    </row>
    <row r="12" spans="1:5" ht="22.15" x14ac:dyDescent="0.45">
      <c r="A12" s="12" t="s">
        <v>11</v>
      </c>
      <c r="B12" s="13">
        <f t="shared" ref="B12:C12" si="0">SUM(B2:B11)</f>
        <v>300000</v>
      </c>
      <c r="C12" s="13">
        <f t="shared" si="0"/>
        <v>300000</v>
      </c>
      <c r="D12" s="13">
        <f>SUM(D2:D11)</f>
        <v>600000</v>
      </c>
      <c r="E1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CRESST (Base)</vt:lpstr>
      <vt:lpstr>FA Lab</vt:lpstr>
      <vt:lpstr>WG Upfit</vt:lpstr>
      <vt:lpstr>Cryo_PowerInstrument Electronic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Iannello</dc:creator>
  <cp:lastModifiedBy>Christopher Iannello</cp:lastModifiedBy>
  <dcterms:created xsi:type="dcterms:W3CDTF">2026-08-10T19:24:04Z</dcterms:created>
  <dcterms:modified xsi:type="dcterms:W3CDTF">2026-08-11T20:35:45Z</dcterms:modified>
</cp:coreProperties>
</file>